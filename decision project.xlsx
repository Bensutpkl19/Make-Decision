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guedutr-my.sharepoint.com/personal/bensu_topkul_agu_edu_tr/Documents/Masaüstü/Dönem dosyaları/3.SINIF BAHAR/Decision and risk analysis/"/>
    </mc:Choice>
  </mc:AlternateContent>
  <xr:revisionPtr revIDLastSave="1325" documentId="8_{3E141C59-5D32-454A-94C7-314382725964}" xr6:coauthVersionLast="47" xr6:coauthVersionMax="47" xr10:uidLastSave="{1DAF9B51-681D-46EF-AD3C-AC14BFF890F4}"/>
  <bookViews>
    <workbookView xWindow="-110" yWindow="-110" windowWidth="19420" windowHeight="10300" activeTab="1" xr2:uid="{00000000-000D-0000-FFFF-FFFF00000000}"/>
  </bookViews>
  <sheets>
    <sheet name="Relative importance" sheetId="2" r:id="rId1"/>
    <sheet name="Weights and C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3" l="1"/>
  <c r="P31" i="3"/>
  <c r="N31" i="3"/>
  <c r="L34" i="3"/>
  <c r="L33" i="3"/>
  <c r="L32" i="3"/>
  <c r="L31" i="3"/>
  <c r="L30" i="3"/>
  <c r="U20" i="3"/>
  <c r="U19" i="3"/>
  <c r="U18" i="3"/>
  <c r="U17" i="3"/>
  <c r="U16" i="3"/>
  <c r="M17" i="3"/>
  <c r="L17" i="3"/>
  <c r="P16" i="3"/>
  <c r="O16" i="3"/>
  <c r="N16" i="3"/>
  <c r="M16" i="3"/>
  <c r="L16" i="3"/>
  <c r="G21" i="3"/>
  <c r="G20" i="3"/>
  <c r="G19" i="3"/>
  <c r="G18" i="3"/>
  <c r="G17" i="3"/>
  <c r="F12" i="3"/>
  <c r="F18" i="3" s="1"/>
  <c r="E12" i="3"/>
  <c r="E18" i="3" s="1"/>
  <c r="D12" i="3"/>
  <c r="B12" i="3"/>
  <c r="M5" i="2"/>
  <c r="K5" i="2"/>
  <c r="J4" i="2"/>
  <c r="J6" i="2"/>
  <c r="K6" i="2"/>
  <c r="L6" i="2"/>
  <c r="M6" i="2"/>
  <c r="J5" i="2"/>
  <c r="L5" i="2"/>
  <c r="K4" i="2"/>
  <c r="L4" i="2"/>
  <c r="M4" i="2"/>
  <c r="J3" i="2"/>
  <c r="K3" i="2"/>
  <c r="L3" i="2"/>
  <c r="M3" i="2"/>
  <c r="I6" i="2"/>
  <c r="I5" i="2"/>
  <c r="I4" i="2"/>
  <c r="I3" i="2"/>
  <c r="M2" i="2"/>
  <c r="L2" i="2"/>
  <c r="K2" i="2"/>
  <c r="J2" i="2"/>
  <c r="I2" i="2"/>
  <c r="F18" i="2"/>
  <c r="B18" i="2"/>
  <c r="C17" i="2"/>
  <c r="B17" i="2"/>
  <c r="C6" i="2"/>
  <c r="B6" i="2"/>
  <c r="F5" i="2"/>
  <c r="D5" i="2"/>
  <c r="C5" i="2"/>
  <c r="B5" i="2"/>
  <c r="F4" i="2"/>
  <c r="C4" i="2"/>
  <c r="B4" i="2"/>
  <c r="B3" i="2"/>
  <c r="E19" i="2"/>
  <c r="D19" i="2"/>
  <c r="C19" i="2"/>
  <c r="B19" i="2"/>
  <c r="D18" i="2"/>
  <c r="C18" i="2"/>
  <c r="B16" i="2"/>
  <c r="B20" i="3" l="1"/>
  <c r="B17" i="3"/>
  <c r="B21" i="3"/>
  <c r="B18" i="3"/>
  <c r="B19" i="3"/>
  <c r="C12" i="3"/>
  <c r="E19" i="3" l="1"/>
  <c r="E20" i="3"/>
  <c r="E21" i="3"/>
  <c r="E17" i="3"/>
  <c r="C18" i="3"/>
  <c r="C21" i="3"/>
  <c r="C17" i="3"/>
  <c r="C19" i="3"/>
  <c r="C20" i="3"/>
  <c r="D18" i="3"/>
  <c r="D19" i="3"/>
  <c r="D20" i="3"/>
  <c r="D17" i="3"/>
  <c r="D21" i="3"/>
  <c r="F19" i="3" l="1"/>
  <c r="F20" i="3"/>
  <c r="F21" i="3"/>
  <c r="F17" i="3"/>
  <c r="L18" i="3" l="1"/>
  <c r="L19" i="3"/>
  <c r="L20" i="3"/>
  <c r="M19" i="3"/>
  <c r="M20" i="3"/>
  <c r="M18" i="3"/>
  <c r="N20" i="3"/>
  <c r="N18" i="3"/>
  <c r="N19" i="3"/>
  <c r="N17" i="3"/>
  <c r="O20" i="3"/>
  <c r="O19" i="3"/>
  <c r="O18" i="3"/>
  <c r="O17" i="3"/>
  <c r="P19" i="3"/>
  <c r="P17" i="3"/>
  <c r="P18" i="3"/>
  <c r="P20" i="3"/>
</calcChain>
</file>

<file path=xl/sharedStrings.xml><?xml version="1.0" encoding="utf-8"?>
<sst xmlns="http://schemas.openxmlformats.org/spreadsheetml/2006/main" count="65" uniqueCount="20">
  <si>
    <t>Price</t>
  </si>
  <si>
    <t>Brand</t>
  </si>
  <si>
    <t>Temperature control</t>
  </si>
  <si>
    <t>Plate material</t>
  </si>
  <si>
    <t>Ease of use</t>
  </si>
  <si>
    <t>Multi Functionality</t>
  </si>
  <si>
    <t>Travel friendliness</t>
  </si>
  <si>
    <t>Durability</t>
  </si>
  <si>
    <t xml:space="preserve">Sütun toplamları </t>
  </si>
  <si>
    <t>weights</t>
  </si>
  <si>
    <t>AW MATRİSİ</t>
  </si>
  <si>
    <t>LAMBDA MAX</t>
  </si>
  <si>
    <t>CI</t>
  </si>
  <si>
    <t>CR</t>
  </si>
  <si>
    <t>Hane geliri</t>
  </si>
  <si>
    <t>Hane nüfusu</t>
  </si>
  <si>
    <t>engellilik durumu</t>
  </si>
  <si>
    <t xml:space="preserve">Çocuk sayısı </t>
  </si>
  <si>
    <t>Araç ve taşınmaz</t>
  </si>
  <si>
    <t>SOOON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</si>
</sst>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.000"/>
    <numFmt numFmtId="166" formatCode="0.00000000000000000000000"/>
    <numFmt numFmtId="167" formatCode="0.000000000000000000000000000000000000000"/>
    <numFmt numFmtId="169" formatCode="0.0000000000000000"/>
    <numFmt numFmtId="170" formatCode="0.000000000000000"/>
    <numFmt numFmtId="171" formatCode="0.0000000000000"/>
    <numFmt numFmtId="172" formatCode="0.000000000"/>
    <numFmt numFmtId="225" formatCode="0.0000000000000000000000"/>
  </numFmts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0" applyFon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165" fontId="0" fillId="3" borderId="0" xfId="0" applyNumberForma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166" fontId="0" fillId="0" borderId="0" xfId="0" applyNumberFormat="1"/>
    <xf numFmtId="167" fontId="0" fillId="0" borderId="0" xfId="0" applyNumberFormat="1"/>
    <xf numFmtId="170" fontId="0" fillId="4" borderId="0" xfId="0" applyNumberFormat="1" applyFill="1"/>
    <xf numFmtId="169" fontId="0" fillId="0" borderId="0" xfId="0" applyNumberFormat="1"/>
    <xf numFmtId="171" fontId="0" fillId="4" borderId="0" xfId="0" applyNumberFormat="1" applyFill="1"/>
    <xf numFmtId="172" fontId="0" fillId="0" borderId="0" xfId="0" applyNumberFormat="1"/>
    <xf numFmtId="172" fontId="0" fillId="3" borderId="0" xfId="0" applyNumberFormat="1" applyFill="1"/>
    <xf numFmtId="0" fontId="1" fillId="4" borderId="1" xfId="0" applyFont="1" applyFill="1" applyBorder="1"/>
    <xf numFmtId="169" fontId="0" fillId="4" borderId="1" xfId="0" applyNumberFormat="1" applyFill="1" applyBorder="1"/>
    <xf numFmtId="225" fontId="0" fillId="0" borderId="0" xfId="0" applyNumberFormat="1"/>
  </cellXfs>
  <cellStyles count="2">
    <cellStyle name="Normal" xfId="0" builtinId="0"/>
    <cellStyle name="Normal 2" xfId="1" xr:uid="{39BCDFA0-DE07-4D0A-92AE-F71464BDC9BB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Yanıtları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BF80-A410-4D40-AE0D-C18A7930FB69}">
  <dimension ref="A1:M19"/>
  <sheetViews>
    <sheetView zoomScale="89" zoomScaleNormal="100" workbookViewId="0">
      <selection activeCell="H2" sqref="H2:H6"/>
    </sheetView>
  </sheetViews>
  <sheetFormatPr defaultRowHeight="12.5" x14ac:dyDescent="0.25"/>
  <cols>
    <col min="1" max="1" width="17.1796875" bestFit="1" customWidth="1"/>
    <col min="2" max="3" width="11.81640625" bestFit="1" customWidth="1"/>
    <col min="4" max="4" width="17.1796875" bestFit="1" customWidth="1"/>
    <col min="5" max="5" width="11.81640625" bestFit="1" customWidth="1"/>
    <col min="6" max="6" width="16.26953125" customWidth="1"/>
    <col min="7" max="7" width="11.81640625" bestFit="1" customWidth="1"/>
    <col min="8" max="8" width="15" bestFit="1" customWidth="1"/>
    <col min="9" max="9" width="15.26953125" bestFit="1" customWidth="1"/>
    <col min="10" max="10" width="12.26953125" customWidth="1"/>
  </cols>
  <sheetData>
    <row r="1" spans="1:13" x14ac:dyDescent="0.25">
      <c r="A1" s="4"/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H1" s="4" t="s">
        <v>19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</row>
    <row r="2" spans="1:13" x14ac:dyDescent="0.25">
      <c r="A2" s="3" t="s">
        <v>14</v>
      </c>
      <c r="B2">
        <v>1</v>
      </c>
      <c r="C2">
        <v>3</v>
      </c>
      <c r="D2">
        <v>5</v>
      </c>
      <c r="E2">
        <v>6</v>
      </c>
      <c r="F2">
        <v>4</v>
      </c>
      <c r="H2" s="3" t="s">
        <v>14</v>
      </c>
      <c r="I2">
        <f>GEOMEAN(B15,B2)</f>
        <v>1</v>
      </c>
      <c r="J2">
        <f>GEOMEAN(C15,C2)</f>
        <v>1.7320508075688774</v>
      </c>
      <c r="K2">
        <f>GEOMEAN(D15,D2)</f>
        <v>3.872983346207417</v>
      </c>
      <c r="L2">
        <f>GEOMEAN(E15,E2)</f>
        <v>6.4807406984078604</v>
      </c>
      <c r="M2">
        <f>GEOMEAN(F15,F2)</f>
        <v>4</v>
      </c>
    </row>
    <row r="3" spans="1:13" x14ac:dyDescent="0.25">
      <c r="A3" s="3" t="s">
        <v>15</v>
      </c>
      <c r="B3">
        <f>1/3</f>
        <v>0.33333333333333331</v>
      </c>
      <c r="C3">
        <v>1</v>
      </c>
      <c r="D3">
        <v>4</v>
      </c>
      <c r="E3">
        <v>5</v>
      </c>
      <c r="F3">
        <v>3</v>
      </c>
      <c r="H3" s="3" t="s">
        <v>15</v>
      </c>
      <c r="I3">
        <f>GEOMEAN(B16,B3)</f>
        <v>0.57735026918962573</v>
      </c>
      <c r="J3">
        <f t="shared" ref="J3:M3" si="0">GEOMEAN(C16,C3)</f>
        <v>1</v>
      </c>
      <c r="K3">
        <f t="shared" si="0"/>
        <v>3.4641016151377548</v>
      </c>
      <c r="L3">
        <f t="shared" si="0"/>
        <v>5.9160797830996161</v>
      </c>
      <c r="M3">
        <f t="shared" si="0"/>
        <v>3.4641016151377548</v>
      </c>
    </row>
    <row r="4" spans="1:13" x14ac:dyDescent="0.25">
      <c r="A4" s="3" t="s">
        <v>16</v>
      </c>
      <c r="B4">
        <f>1/5</f>
        <v>0.2</v>
      </c>
      <c r="C4">
        <f>1/4</f>
        <v>0.25</v>
      </c>
      <c r="D4">
        <v>1</v>
      </c>
      <c r="E4">
        <v>2</v>
      </c>
      <c r="F4">
        <f>1/3</f>
        <v>0.33333333333333331</v>
      </c>
      <c r="H4" s="3" t="s">
        <v>16</v>
      </c>
      <c r="I4">
        <f>GEOMEAN(B17,B4)</f>
        <v>0.2581988897471611</v>
      </c>
      <c r="J4">
        <f>GEOMEAN(C17,C4)</f>
        <v>0.28867513459481287</v>
      </c>
      <c r="K4">
        <f t="shared" ref="J4:M4" si="1">GEOMEAN(D17,D4)</f>
        <v>1</v>
      </c>
      <c r="L4">
        <f t="shared" si="1"/>
        <v>3.1622776601683795</v>
      </c>
      <c r="M4">
        <f t="shared" si="1"/>
        <v>1</v>
      </c>
    </row>
    <row r="5" spans="1:13" x14ac:dyDescent="0.25">
      <c r="A5" s="3" t="s">
        <v>17</v>
      </c>
      <c r="B5">
        <f>1/6</f>
        <v>0.16666666666666666</v>
      </c>
      <c r="C5">
        <f>1/5</f>
        <v>0.2</v>
      </c>
      <c r="D5">
        <f>1/2</f>
        <v>0.5</v>
      </c>
      <c r="E5">
        <v>1</v>
      </c>
      <c r="F5">
        <f>1/4</f>
        <v>0.25</v>
      </c>
      <c r="H5" s="3" t="s">
        <v>17</v>
      </c>
      <c r="I5">
        <f>GEOMEAN(B18,B5)</f>
        <v>0.15430334996209191</v>
      </c>
      <c r="J5">
        <f t="shared" ref="J5:M5" si="2">GEOMEAN(C18,C5)</f>
        <v>0.1690308509457033</v>
      </c>
      <c r="K5">
        <f>GEOMEAN(D18,D5)</f>
        <v>0.31622776601683794</v>
      </c>
      <c r="L5">
        <f t="shared" si="2"/>
        <v>1</v>
      </c>
      <c r="M5">
        <f>GEOMEAN(F18,F5)</f>
        <v>0.25</v>
      </c>
    </row>
    <row r="6" spans="1:13" x14ac:dyDescent="0.25">
      <c r="A6" s="3" t="s">
        <v>18</v>
      </c>
      <c r="B6">
        <f>1/4</f>
        <v>0.25</v>
      </c>
      <c r="C6">
        <f>1/3</f>
        <v>0.33333333333333331</v>
      </c>
      <c r="D6">
        <v>3</v>
      </c>
      <c r="E6">
        <v>4</v>
      </c>
      <c r="F6">
        <v>1</v>
      </c>
      <c r="H6" s="3" t="s">
        <v>18</v>
      </c>
      <c r="I6">
        <f>GEOMEAN(B19,B6)</f>
        <v>0.25</v>
      </c>
      <c r="J6">
        <f t="shared" ref="J6:M6" si="3">GEOMEAN(C19,C6)</f>
        <v>0.28867513459481287</v>
      </c>
      <c r="K6">
        <f t="shared" si="3"/>
        <v>1</v>
      </c>
      <c r="L6">
        <f t="shared" si="3"/>
        <v>4</v>
      </c>
      <c r="M6">
        <f t="shared" si="3"/>
        <v>1</v>
      </c>
    </row>
    <row r="14" spans="1:13" x14ac:dyDescent="0.25">
      <c r="A14" s="4"/>
      <c r="B14" s="3" t="s">
        <v>14</v>
      </c>
      <c r="C14" s="3" t="s">
        <v>15</v>
      </c>
      <c r="D14" s="3" t="s">
        <v>16</v>
      </c>
      <c r="E14" s="3" t="s">
        <v>17</v>
      </c>
      <c r="F14" s="3" t="s">
        <v>18</v>
      </c>
    </row>
    <row r="15" spans="1:13" x14ac:dyDescent="0.25">
      <c r="A15" s="3" t="s">
        <v>14</v>
      </c>
      <c r="B15">
        <v>1</v>
      </c>
      <c r="C15">
        <v>1</v>
      </c>
      <c r="D15">
        <v>3</v>
      </c>
      <c r="E15">
        <v>7</v>
      </c>
      <c r="F15">
        <v>4</v>
      </c>
    </row>
    <row r="16" spans="1:13" x14ac:dyDescent="0.25">
      <c r="A16" s="3" t="s">
        <v>15</v>
      </c>
      <c r="B16">
        <f>1/C15</f>
        <v>1</v>
      </c>
      <c r="C16">
        <v>1</v>
      </c>
      <c r="D16">
        <v>3</v>
      </c>
      <c r="E16">
        <v>7</v>
      </c>
      <c r="F16">
        <v>4</v>
      </c>
    </row>
    <row r="17" spans="1:6" x14ac:dyDescent="0.25">
      <c r="A17" s="3" t="s">
        <v>16</v>
      </c>
      <c r="B17">
        <f>1/3</f>
        <v>0.33333333333333331</v>
      </c>
      <c r="C17">
        <f>1/D16</f>
        <v>0.33333333333333331</v>
      </c>
      <c r="D17">
        <v>1</v>
      </c>
      <c r="E17">
        <v>5</v>
      </c>
      <c r="F17">
        <v>3</v>
      </c>
    </row>
    <row r="18" spans="1:6" x14ac:dyDescent="0.25">
      <c r="A18" s="3" t="s">
        <v>17</v>
      </c>
      <c r="B18">
        <f>1/7</f>
        <v>0.14285714285714285</v>
      </c>
      <c r="C18">
        <f>1/E16</f>
        <v>0.14285714285714285</v>
      </c>
      <c r="D18">
        <f>1/E17</f>
        <v>0.2</v>
      </c>
      <c r="E18">
        <v>1</v>
      </c>
      <c r="F18">
        <f>1/4</f>
        <v>0.25</v>
      </c>
    </row>
    <row r="19" spans="1:6" x14ac:dyDescent="0.25">
      <c r="A19" s="3" t="s">
        <v>18</v>
      </c>
      <c r="B19">
        <f>1/F15</f>
        <v>0.25</v>
      </c>
      <c r="C19">
        <f>1/F16</f>
        <v>0.25</v>
      </c>
      <c r="D19">
        <f>1/F17</f>
        <v>0.33333333333333331</v>
      </c>
      <c r="E19">
        <f>1/F18</f>
        <v>4</v>
      </c>
      <c r="F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AF8D-47B0-4A87-A66C-E98295E3AC7D}">
  <dimension ref="A1:U41"/>
  <sheetViews>
    <sheetView tabSelected="1" zoomScale="61" workbookViewId="0">
      <selection activeCell="P35" sqref="P35"/>
    </sheetView>
  </sheetViews>
  <sheetFormatPr defaultRowHeight="12.5" x14ac:dyDescent="0.25"/>
  <cols>
    <col min="1" max="1" width="17.1796875" bestFit="1" customWidth="1"/>
    <col min="2" max="2" width="13.08984375" style="14" customWidth="1"/>
    <col min="3" max="3" width="16" style="14" customWidth="1"/>
    <col min="4" max="4" width="17.1796875" style="14" bestFit="1" customWidth="1"/>
    <col min="5" max="5" width="11.81640625" customWidth="1"/>
    <col min="6" max="6" width="17.54296875" style="14" customWidth="1"/>
    <col min="7" max="7" width="24.36328125" customWidth="1"/>
    <col min="8" max="8" width="15" bestFit="1" customWidth="1"/>
    <col min="9" max="9" width="28.453125" customWidth="1"/>
    <col min="11" max="11" width="8.7265625" customWidth="1"/>
    <col min="12" max="12" width="44.81640625" customWidth="1"/>
    <col min="13" max="13" width="13.54296875" customWidth="1"/>
    <col min="14" max="14" width="31.81640625" customWidth="1"/>
    <col min="15" max="15" width="27.7265625" customWidth="1"/>
    <col min="16" max="16" width="21.36328125" customWidth="1"/>
    <col min="17" max="17" width="26.54296875" customWidth="1"/>
    <col min="18" max="18" width="36.1796875" customWidth="1"/>
    <col min="19" max="19" width="40.453125" customWidth="1"/>
    <col min="21" max="21" width="31.7265625" customWidth="1"/>
  </cols>
  <sheetData>
    <row r="1" spans="1:21" x14ac:dyDescent="0.25">
      <c r="A1" s="4"/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</row>
    <row r="2" spans="1:21" x14ac:dyDescent="0.25">
      <c r="A2" s="3" t="s">
        <v>14</v>
      </c>
      <c r="B2" s="14">
        <v>1</v>
      </c>
      <c r="C2" s="14">
        <v>1.8840509201876074</v>
      </c>
      <c r="D2" s="14">
        <v>1.7320508075688774</v>
      </c>
      <c r="E2">
        <v>1.9679896712654303</v>
      </c>
      <c r="F2" s="14">
        <v>1.6265765616977856</v>
      </c>
    </row>
    <row r="3" spans="1:21" x14ac:dyDescent="0.25">
      <c r="A3" s="3" t="s">
        <v>15</v>
      </c>
      <c r="B3" s="14">
        <v>0.53077121710724429</v>
      </c>
      <c r="C3" s="14">
        <v>1</v>
      </c>
      <c r="D3" s="14">
        <v>0.86334002137045052</v>
      </c>
      <c r="E3">
        <v>1.1362193664674993</v>
      </c>
      <c r="F3" s="14">
        <v>1.7320508075688774</v>
      </c>
    </row>
    <row r="4" spans="1:21" x14ac:dyDescent="0.25">
      <c r="A4" s="3" t="s">
        <v>16</v>
      </c>
      <c r="B4" s="14">
        <v>0.57735026918962573</v>
      </c>
      <c r="C4" s="14">
        <v>1.158292185288269</v>
      </c>
      <c r="D4" s="14">
        <v>1</v>
      </c>
      <c r="E4">
        <v>1.3160740129524926</v>
      </c>
      <c r="F4" s="14">
        <v>1.3160740129524926</v>
      </c>
    </row>
    <row r="5" spans="1:21" x14ac:dyDescent="0.25">
      <c r="A5" s="3" t="s">
        <v>17</v>
      </c>
      <c r="B5" s="14">
        <v>0.50813274815461473</v>
      </c>
      <c r="C5" s="14">
        <v>0.88011173679339338</v>
      </c>
      <c r="D5" s="14">
        <v>0.75983568565159243</v>
      </c>
      <c r="E5">
        <v>1</v>
      </c>
      <c r="F5" s="14">
        <v>1</v>
      </c>
    </row>
    <row r="6" spans="1:21" x14ac:dyDescent="0.25">
      <c r="A6" s="3" t="s">
        <v>18</v>
      </c>
      <c r="B6" s="14">
        <v>0.61478815295126443</v>
      </c>
      <c r="C6" s="14">
        <v>0.57735026918962573</v>
      </c>
      <c r="D6" s="14">
        <v>0.75983568565159243</v>
      </c>
      <c r="E6">
        <v>1</v>
      </c>
      <c r="F6" s="14">
        <v>1</v>
      </c>
    </row>
    <row r="7" spans="1:21" x14ac:dyDescent="0.25">
      <c r="B7"/>
      <c r="C7"/>
      <c r="D7"/>
      <c r="F7"/>
    </row>
    <row r="8" spans="1:21" x14ac:dyDescent="0.25">
      <c r="B8"/>
      <c r="C8"/>
      <c r="D8"/>
      <c r="F8"/>
    </row>
    <row r="9" spans="1:21" x14ac:dyDescent="0.25">
      <c r="B9"/>
      <c r="C9"/>
      <c r="D9"/>
      <c r="F9"/>
    </row>
    <row r="10" spans="1:21" x14ac:dyDescent="0.25">
      <c r="A10" s="6"/>
      <c r="B10" s="15"/>
      <c r="C10" s="15"/>
      <c r="D10" s="15"/>
      <c r="E10" s="5"/>
      <c r="F10" s="15"/>
    </row>
    <row r="12" spans="1:21" x14ac:dyDescent="0.25">
      <c r="A12" s="1" t="s">
        <v>8</v>
      </c>
      <c r="B12" s="14">
        <f>SUM(B2:B9)</f>
        <v>3.231042387402749</v>
      </c>
      <c r="C12" s="14">
        <f>SUM(C2:C9)</f>
        <v>5.4998051114588957</v>
      </c>
      <c r="D12" s="14">
        <f>SUM(D2:D9)</f>
        <v>5.1150622002425123</v>
      </c>
      <c r="E12" s="2">
        <f>SUM(E2:E9)</f>
        <v>6.4202830506854225</v>
      </c>
      <c r="F12" s="14">
        <f>SUM(F2:F9)</f>
        <v>6.6747013822191557</v>
      </c>
    </row>
    <row r="15" spans="1:21" x14ac:dyDescent="0.25">
      <c r="U15" s="8" t="s">
        <v>10</v>
      </c>
    </row>
    <row r="16" spans="1:21" x14ac:dyDescent="0.25">
      <c r="A16" s="4"/>
      <c r="B16" s="3" t="s">
        <v>14</v>
      </c>
      <c r="C16" s="3" t="s">
        <v>15</v>
      </c>
      <c r="D16" s="3" t="s">
        <v>16</v>
      </c>
      <c r="E16" s="3" t="s">
        <v>17</v>
      </c>
      <c r="F16" s="3" t="s">
        <v>18</v>
      </c>
      <c r="G16" s="16" t="s">
        <v>9</v>
      </c>
      <c r="L16">
        <f>B2*$G$17</f>
        <v>0.30818039022342414</v>
      </c>
      <c r="M16">
        <f>C2*G18</f>
        <v>0.35847807595243569</v>
      </c>
      <c r="N16">
        <f>D2*G19</f>
        <v>0.34189159229617516</v>
      </c>
      <c r="O16" s="2">
        <f>E2*G20</f>
        <v>0.30362788282680736</v>
      </c>
      <c r="P16">
        <f>F2*G21</f>
        <v>0.24378363671217315</v>
      </c>
      <c r="U16" s="8">
        <f>SUM(L16:P16)</f>
        <v>1.5559615780110154</v>
      </c>
    </row>
    <row r="17" spans="1:21" x14ac:dyDescent="0.25">
      <c r="A17" s="3" t="s">
        <v>14</v>
      </c>
      <c r="B17" s="14">
        <f>B2/$B$12</f>
        <v>0.30949764196805946</v>
      </c>
      <c r="C17" s="14">
        <f>C2/$C$12</f>
        <v>0.34256685137118215</v>
      </c>
      <c r="D17" s="14">
        <f>D2/$D$12</f>
        <v>0.3386177410485367</v>
      </c>
      <c r="E17">
        <f>E2/$E$12</f>
        <v>0.30652693280482857</v>
      </c>
      <c r="F17" s="14">
        <f>F2/$F$12</f>
        <v>0.24369278392451371</v>
      </c>
      <c r="G17" s="17">
        <f>AVERAGE(B17:F17)</f>
        <v>0.30818039022342414</v>
      </c>
      <c r="L17">
        <f>B3*$G$17</f>
        <v>0.16357328080747233</v>
      </c>
      <c r="M17">
        <f>C3*$G$18</f>
        <v>0.19026984467953745</v>
      </c>
      <c r="N17">
        <f>D3*$G$19</f>
        <v>0.17041572528328933</v>
      </c>
      <c r="O17">
        <f>E3*$G$20</f>
        <v>0.17529963988353339</v>
      </c>
      <c r="P17">
        <f>F3*$G$21</f>
        <v>0.25959162008252867</v>
      </c>
      <c r="U17" s="8">
        <f>SUM(L17:P17)</f>
        <v>0.95915011073636114</v>
      </c>
    </row>
    <row r="18" spans="1:21" x14ac:dyDescent="0.25">
      <c r="A18" s="3" t="s">
        <v>15</v>
      </c>
      <c r="B18" s="14">
        <f>B3/$B$12</f>
        <v>0.16427244011920902</v>
      </c>
      <c r="C18" s="14">
        <f t="shared" ref="C18:C21" si="0">C3/$C$12</f>
        <v>0.18182462464287882</v>
      </c>
      <c r="D18" s="14">
        <f t="shared" ref="D18:D21" si="1">D3/$D$12</f>
        <v>0.16878387545893739</v>
      </c>
      <c r="E18">
        <f>E3/$E$12</f>
        <v>0.17697340716873811</v>
      </c>
      <c r="F18" s="14">
        <f>F3/$F$12</f>
        <v>0.25949487600792381</v>
      </c>
      <c r="G18" s="17">
        <f>AVERAGE(B18:F18)</f>
        <v>0.19026984467953745</v>
      </c>
      <c r="L18">
        <f>B4*$G$17</f>
        <v>0.17792803125445783</v>
      </c>
      <c r="M18">
        <f>C4*$G$18</f>
        <v>0.22038807418832096</v>
      </c>
      <c r="N18">
        <f>D4*$G$19</f>
        <v>0.1973912028458665</v>
      </c>
      <c r="O18">
        <f>E4*$G$20</f>
        <v>0.20304820296094453</v>
      </c>
      <c r="P18">
        <f>F4*$G$21</f>
        <v>0.19724697663481591</v>
      </c>
      <c r="U18" s="8">
        <f>SUM(L18:P18)</f>
        <v>0.99600248788440571</v>
      </c>
    </row>
    <row r="19" spans="1:21" x14ac:dyDescent="0.25">
      <c r="A19" s="3" t="s">
        <v>16</v>
      </c>
      <c r="B19" s="14">
        <f t="shared" ref="B19:B21" si="2">B4/$B$12</f>
        <v>0.17868854690381353</v>
      </c>
      <c r="C19" s="14">
        <f t="shared" si="0"/>
        <v>0.21060604181681936</v>
      </c>
      <c r="D19" s="14">
        <f t="shared" si="1"/>
        <v>0.19550104394675563</v>
      </c>
      <c r="E19">
        <f t="shared" ref="E19:E21" si="3">E4/$E$12</f>
        <v>0.20498691452738832</v>
      </c>
      <c r="F19" s="14">
        <f t="shared" ref="F19:F21" si="4">F4/$F$12</f>
        <v>0.19717346703455579</v>
      </c>
      <c r="G19" s="17">
        <f>AVERAGE(B19:F19)</f>
        <v>0.1973912028458665</v>
      </c>
      <c r="L19">
        <f>B5*$G$17</f>
        <v>0.15659654861159006</v>
      </c>
      <c r="M19">
        <f>C5*$G$18</f>
        <v>0.1674587234603169</v>
      </c>
      <c r="N19">
        <f>D5*$G$19</f>
        <v>0.14998487995598153</v>
      </c>
      <c r="O19">
        <f>E5*$G$20</f>
        <v>0.15428327051715299</v>
      </c>
      <c r="P19">
        <f>F5*$G$21</f>
        <v>0.14987529173401898</v>
      </c>
      <c r="U19" s="8">
        <f>SUM(L19:P19)</f>
        <v>0.77819871427906051</v>
      </c>
    </row>
    <row r="20" spans="1:21" x14ac:dyDescent="0.25">
      <c r="A20" s="3" t="s">
        <v>17</v>
      </c>
      <c r="B20" s="14">
        <f>B5/$B$12</f>
        <v>0.15726588736060307</v>
      </c>
      <c r="C20" s="14">
        <f t="shared" si="0"/>
        <v>0.16002598618625091</v>
      </c>
      <c r="D20" s="14">
        <f t="shared" si="1"/>
        <v>0.14854866977288517</v>
      </c>
      <c r="E20">
        <f t="shared" si="3"/>
        <v>0.15575637274952248</v>
      </c>
      <c r="F20" s="14">
        <f t="shared" si="4"/>
        <v>0.14981943651650337</v>
      </c>
      <c r="G20" s="17">
        <f>AVERAGE(B20:F20)</f>
        <v>0.15428327051715299</v>
      </c>
      <c r="L20">
        <f>B6*$G$17</f>
        <v>0.18946565288125883</v>
      </c>
      <c r="M20">
        <f>C6*$G$18</f>
        <v>0.10985234604439922</v>
      </c>
      <c r="N20">
        <f>D6*$G$19</f>
        <v>0.14998487995598153</v>
      </c>
      <c r="O20">
        <f>E6*$G$20</f>
        <v>0.15428327051715299</v>
      </c>
      <c r="P20">
        <f>F6*$G$21</f>
        <v>0.14987529173401898</v>
      </c>
      <c r="U20" s="8">
        <f>SUM(L20:P20)</f>
        <v>0.75346144113281155</v>
      </c>
    </row>
    <row r="21" spans="1:21" x14ac:dyDescent="0.25">
      <c r="A21" s="3" t="s">
        <v>18</v>
      </c>
      <c r="B21" s="14">
        <f t="shared" si="2"/>
        <v>0.19027548364831501</v>
      </c>
      <c r="C21" s="14">
        <f t="shared" si="0"/>
        <v>0.10497649598286873</v>
      </c>
      <c r="D21" s="14">
        <f t="shared" si="1"/>
        <v>0.14854866977288517</v>
      </c>
      <c r="E21">
        <f t="shared" si="3"/>
        <v>0.15575637274952248</v>
      </c>
      <c r="F21" s="14">
        <f t="shared" si="4"/>
        <v>0.14981943651650337</v>
      </c>
      <c r="G21" s="17">
        <f>AVERAGE(B21:F21)</f>
        <v>0.14987529173401898</v>
      </c>
    </row>
    <row r="22" spans="1:21" x14ac:dyDescent="0.25">
      <c r="B22"/>
      <c r="C22"/>
      <c r="D22"/>
      <c r="F22"/>
    </row>
    <row r="23" spans="1:21" x14ac:dyDescent="0.25">
      <c r="B23"/>
      <c r="C23"/>
      <c r="D23"/>
      <c r="F23"/>
    </row>
    <row r="24" spans="1:21" x14ac:dyDescent="0.25">
      <c r="B24"/>
      <c r="C24"/>
      <c r="D24"/>
      <c r="F24"/>
    </row>
    <row r="25" spans="1:21" x14ac:dyDescent="0.25">
      <c r="A25" s="6"/>
      <c r="G25" s="12"/>
    </row>
    <row r="30" spans="1:21" x14ac:dyDescent="0.25">
      <c r="L30" s="18">
        <f>U16/G17</f>
        <v>5.0488662723899367</v>
      </c>
      <c r="N30" s="10"/>
    </row>
    <row r="31" spans="1:21" x14ac:dyDescent="0.25">
      <c r="L31" s="18">
        <f>U17/G18</f>
        <v>5.0409990734570291</v>
      </c>
      <c r="M31" s="8" t="s">
        <v>11</v>
      </c>
      <c r="N31" s="13">
        <f>AVERAGE(L30:L34)</f>
        <v>5.0413823693893063</v>
      </c>
      <c r="O31" s="7" t="s">
        <v>12</v>
      </c>
      <c r="P31" s="11">
        <f>(N31-5)/4</f>
        <v>1.0345592347326571E-2</v>
      </c>
    </row>
    <row r="32" spans="1:21" x14ac:dyDescent="0.25">
      <c r="L32" s="18">
        <f>U18/G19</f>
        <v>5.0458301764447784</v>
      </c>
    </row>
    <row r="33" spans="6:16" x14ac:dyDescent="0.25">
      <c r="L33" s="18">
        <f>U19/G20</f>
        <v>5.0439604480159206</v>
      </c>
    </row>
    <row r="34" spans="6:16" x14ac:dyDescent="0.25">
      <c r="F34" s="3" t="s">
        <v>0</v>
      </c>
      <c r="L34" s="18">
        <f>U20/G21</f>
        <v>5.0272558766388675</v>
      </c>
      <c r="O34" s="8" t="s">
        <v>13</v>
      </c>
      <c r="P34" s="8">
        <f>P31/1.12</f>
        <v>9.2371360243987226E-3</v>
      </c>
    </row>
    <row r="35" spans="6:16" x14ac:dyDescent="0.25">
      <c r="F35" s="3" t="s">
        <v>1</v>
      </c>
    </row>
    <row r="36" spans="6:16" x14ac:dyDescent="0.25">
      <c r="F36" s="3" t="s">
        <v>2</v>
      </c>
    </row>
    <row r="37" spans="6:16" x14ac:dyDescent="0.25">
      <c r="F37" s="3" t="s">
        <v>3</v>
      </c>
    </row>
    <row r="38" spans="6:16" x14ac:dyDescent="0.25">
      <c r="F38" s="3" t="s">
        <v>4</v>
      </c>
      <c r="L38" s="9"/>
    </row>
    <row r="39" spans="6:16" x14ac:dyDescent="0.25">
      <c r="F39" s="3" t="s">
        <v>7</v>
      </c>
    </row>
    <row r="40" spans="6:16" x14ac:dyDescent="0.25">
      <c r="F40" s="3" t="s">
        <v>5</v>
      </c>
    </row>
    <row r="41" spans="6:16" x14ac:dyDescent="0.25">
      <c r="F41" s="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Relative importance</vt:lpstr>
      <vt:lpstr>Weights and 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Bensu Topkül</dc:creator>
  <cp:lastModifiedBy>Bensu Topkul</cp:lastModifiedBy>
  <dcterms:created xsi:type="dcterms:W3CDTF">2026-05-11T09:18:02Z</dcterms:created>
  <dcterms:modified xsi:type="dcterms:W3CDTF">2026-07-18T05:05:02Z</dcterms:modified>
</cp:coreProperties>
</file>